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Data\Cognex\VisionPro Deep Learning\2.1\Examples\c#\projSampaleViewer\bin\x64\Debug\Data\"/>
    </mc:Choice>
  </mc:AlternateContent>
  <xr:revisionPtr revIDLastSave="0" documentId="13_ncr:1_{C2B1078E-C760-4A53-8391-7C93BA04207F}" xr6:coauthVersionLast="47" xr6:coauthVersionMax="47" xr10:uidLastSave="{00000000-0000-0000-0000-000000000000}"/>
  <bookViews>
    <workbookView xWindow="1800" yWindow="1065" windowWidth="22230" windowHeight="13110" xr2:uid="{00000000-000D-0000-FFFF-FFFF00000000}"/>
  </bookViews>
  <sheets>
    <sheet name="Files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H35" i="1"/>
  <c r="H29" i="1"/>
  <c r="H28" i="1"/>
  <c r="H24" i="1"/>
  <c r="H23" i="1"/>
  <c r="H17" i="1"/>
  <c r="H16" i="1"/>
  <c r="H11" i="1"/>
  <c r="H10" i="1"/>
  <c r="F5" i="1"/>
  <c r="F9" i="1"/>
  <c r="F7" i="1"/>
</calcChain>
</file>

<file path=xl/sharedStrings.xml><?xml version="1.0" encoding="utf-8"?>
<sst xmlns="http://schemas.openxmlformats.org/spreadsheetml/2006/main" count="46" uniqueCount="46">
  <si>
    <t>002_02.50_001_1.jpg</t>
  </si>
  <si>
    <t>002_02.50_001_2.jpg</t>
  </si>
  <si>
    <t>002_02.50_001_4.jpg</t>
  </si>
  <si>
    <t>002_03.00_002_1.jpg</t>
  </si>
  <si>
    <t>002_03.00_002_2.jpg</t>
  </si>
  <si>
    <t>002_03.00_002_3.jpg</t>
  </si>
  <si>
    <t>002_03.00_003_2.jpg</t>
  </si>
  <si>
    <t>002_04.00_004_1.jpg</t>
  </si>
  <si>
    <t>002_04.00_004_2.jpg</t>
  </si>
  <si>
    <t>002_04.00_004_3.jpg</t>
  </si>
  <si>
    <t>002_05.00_005_1.jpg</t>
  </si>
  <si>
    <t>002_05.00_005_2.jpg</t>
  </si>
  <si>
    <t>002_05.00_005_3.jpg</t>
  </si>
  <si>
    <t>002_05.00_005_4.jpg</t>
  </si>
  <si>
    <t>002_06.00_007_2.jpg</t>
  </si>
  <si>
    <t>002_06.00_007_3.jpg</t>
  </si>
  <si>
    <t>002_06.00_007_4.jpg</t>
  </si>
  <si>
    <t>002_06.00_008_2.jpg</t>
  </si>
  <si>
    <t>002_06.00_008_3.jpg</t>
  </si>
  <si>
    <t>002_06.00_008_4.jpg</t>
  </si>
  <si>
    <t>002_06.00_009_1.jpg</t>
  </si>
  <si>
    <t>002_06.00_009_2.jpg</t>
  </si>
  <si>
    <t>002_06.00_009_3.jpg</t>
  </si>
  <si>
    <t>002_06.00_010_1.jpg</t>
  </si>
  <si>
    <t>002_06.00_010_2.jpg</t>
  </si>
  <si>
    <t>002_06.00_010_3.jpg</t>
  </si>
  <si>
    <t>002_06.00_011_1.jpg</t>
  </si>
  <si>
    <t>002_06.00_011_2.jpg</t>
  </si>
  <si>
    <t>002_06.00_011_3.jpg</t>
  </si>
  <si>
    <t>002_06.00_011_4.jpg</t>
  </si>
  <si>
    <t>002_06.00_012_1.jpg</t>
  </si>
  <si>
    <t>002_06.00_012_2.jpg</t>
  </si>
  <si>
    <t>002_06.00_012_3.jpg</t>
  </si>
  <si>
    <t>002_06.00_013_1.jpg</t>
  </si>
  <si>
    <t>002_06.00_013_2.jpg</t>
  </si>
  <si>
    <t>002_06.00_014_1.jpg</t>
  </si>
  <si>
    <t>002_06.00_014_2.jpg</t>
  </si>
  <si>
    <t>002_10.00_017_2.jpg</t>
  </si>
  <si>
    <t>No ROI</t>
  </si>
  <si>
    <t>With STD ROI</t>
  </si>
  <si>
    <t>Proj 9</t>
  </si>
  <si>
    <t>Image</t>
  </si>
  <si>
    <t>score, size , area, perimeter</t>
  </si>
  <si>
    <t>roi-distance Horizontal</t>
  </si>
  <si>
    <t>2, 10, 22, 39, 15</t>
  </si>
  <si>
    <t>4, 33, 33, 54, 33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</si>
</sst>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0" xfId="0" applyBorder="1"/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4" fontId="0" fillId="0" borderId="10" xfId="0" applyNumberFormat="1" applyBorder="1"/>
    <xf numFmtId="14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tabSelected="1" workbookViewId="0">
      <selection activeCell="J36" sqref="J36"/>
    </sheetView>
  </sheetViews>
  <sheetFormatPr defaultRowHeight="15" x14ac:dyDescent="0.25"/>
  <cols>
    <col min="1" max="1" width="10.7109375" customWidth="1"/>
    <col min="2" max="3" width="22.7109375" customWidth="1"/>
    <col min="4" max="4" width="30.140625" customWidth="1"/>
    <col min="5" max="5" width="29.7109375" customWidth="1"/>
    <col min="6" max="6" width="52.85546875" customWidth="1"/>
  </cols>
  <sheetData>
    <row r="1" spans="1:8" x14ac:dyDescent="0.25">
      <c r="A1" s="1" t="s">
        <v>40</v>
      </c>
    </row>
    <row r="2" spans="1:8" x14ac:dyDescent="0.25">
      <c r="A2" s="2">
        <v>45217</v>
      </c>
    </row>
    <row r="3" spans="1:8" x14ac:dyDescent="0.25">
      <c r="A3" s="3"/>
      <c r="B3" s="8"/>
      <c r="C3" s="9"/>
      <c r="D3" s="6" t="s">
        <v>42</v>
      </c>
      <c r="E3" s="7"/>
      <c r="F3" s="3"/>
    </row>
    <row r="4" spans="1:8" x14ac:dyDescent="0.25">
      <c r="A4" s="3"/>
      <c r="B4" s="5" t="s">
        <v>41</v>
      </c>
      <c r="C4" s="5" t="s">
        <v>43</v>
      </c>
      <c r="D4" s="4" t="s">
        <v>38</v>
      </c>
      <c r="E4" s="4" t="s">
        <v>39</v>
      </c>
      <c r="F4" s="3"/>
    </row>
    <row r="5" spans="1:8" x14ac:dyDescent="0.25">
      <c r="A5" s="3">
        <v>1</v>
      </c>
      <c r="B5" s="3" t="s">
        <v>0</v>
      </c>
      <c r="C5" s="3">
        <v>200</v>
      </c>
      <c r="D5" s="3"/>
      <c r="E5" s="3"/>
      <c r="F5" s="3" t="str">
        <f xml:space="preserve"> "ratios roi: "    &amp;TEXT(1-0.93/0.97,"0.00") &amp; ", "  &amp;TEXT(1-(14/21),"0.00") &amp; " , " &amp;TEXT((1-6/9),"0.00") &amp; " , " &amp;TEXT((1-65/142),"0.00") &amp; " , " &amp;TEXT((1-35/52),"0.00")</f>
        <v>ratios roi: 0.04, 0.33 , 0.33 , 0.54 , 0.33</v>
      </c>
    </row>
    <row r="6" spans="1:8" x14ac:dyDescent="0.25">
      <c r="A6" s="3">
        <v>2</v>
      </c>
      <c r="B6" s="3" t="s">
        <v>1</v>
      </c>
      <c r="C6" s="3">
        <v>204</v>
      </c>
      <c r="D6" s="3"/>
      <c r="E6" s="3"/>
      <c r="F6" s="3" t="s">
        <v>45</v>
      </c>
    </row>
    <row r="7" spans="1:8" x14ac:dyDescent="0.25">
      <c r="A7" s="3">
        <v>3</v>
      </c>
      <c r="B7" s="3" t="s">
        <v>2</v>
      </c>
      <c r="C7" s="3">
        <v>218</v>
      </c>
      <c r="D7" s="3"/>
      <c r="E7" s="3"/>
      <c r="F7" s="3" t="str">
        <f t="shared" ref="F7:F9" si="0" xml:space="preserve"> "Area roi: "    &amp;TEXT(511*237,"0,0") &amp; "Area body in roi: "  &amp;TEXT((511 - 308)*(180-80),"0,0") &amp; " ,areas ratio: " &amp;TEXT(((511 - 308)*(180-80))/(511*237),"0.00")</f>
        <v>Area roi: 121,107Area body in roi: 20,300 ,areas ratio: 0.17</v>
      </c>
    </row>
    <row r="8" spans="1:8" x14ac:dyDescent="0.25">
      <c r="A8" s="3">
        <v>4</v>
      </c>
      <c r="B8" s="3" t="s">
        <v>3</v>
      </c>
      <c r="C8" s="3">
        <v>162</v>
      </c>
      <c r="D8" s="3"/>
      <c r="E8" s="3"/>
      <c r="H8">
        <v>67</v>
      </c>
    </row>
    <row r="9" spans="1:8" x14ac:dyDescent="0.25">
      <c r="A9" s="3">
        <v>5</v>
      </c>
      <c r="B9" s="3" t="s">
        <v>4</v>
      </c>
      <c r="C9" s="3">
        <v>214</v>
      </c>
      <c r="D9" s="3"/>
      <c r="E9" s="3"/>
      <c r="F9" s="3" t="str">
        <f xml:space="preserve"> "ratios roi: "    &amp;TEXT(1-0.91/0.93,"0.00") &amp; ", "  &amp;TEXT(1-(19/21),"0.00") &amp; " , " &amp;TEXT((1-7/9),"0.00") &amp; " , " &amp;TEXT((1-88/144),"0.00") &amp; " , " &amp;TEXT((1-46/54),"0.00")</f>
        <v>ratios roi: 0.02, 0.10 , 0.22 , 0.39 , 0.15</v>
      </c>
      <c r="H9">
        <v>352</v>
      </c>
    </row>
    <row r="10" spans="1:8" x14ac:dyDescent="0.25">
      <c r="A10" s="3">
        <v>6</v>
      </c>
      <c r="B10" s="3" t="s">
        <v>5</v>
      </c>
      <c r="C10" s="3"/>
      <c r="D10" s="3"/>
      <c r="E10" s="3"/>
      <c r="F10" s="3" t="s">
        <v>44</v>
      </c>
      <c r="H10">
        <f>H9-H8</f>
        <v>285</v>
      </c>
    </row>
    <row r="11" spans="1:8" x14ac:dyDescent="0.25">
      <c r="A11" s="3">
        <v>7</v>
      </c>
      <c r="B11" s="3" t="s">
        <v>6</v>
      </c>
      <c r="C11" s="3"/>
      <c r="D11" s="3"/>
      <c r="E11" s="3"/>
      <c r="F11" s="3"/>
      <c r="H11">
        <f>H10/130</f>
        <v>2.1923076923076925</v>
      </c>
    </row>
    <row r="12" spans="1:8" x14ac:dyDescent="0.25">
      <c r="A12" s="3">
        <v>8</v>
      </c>
      <c r="B12" s="3" t="s">
        <v>7</v>
      </c>
      <c r="C12" s="3"/>
      <c r="D12" s="3"/>
      <c r="E12" s="3"/>
      <c r="F12" s="3"/>
    </row>
    <row r="13" spans="1:8" x14ac:dyDescent="0.25">
      <c r="A13" s="3">
        <v>9</v>
      </c>
      <c r="B13" s="3" t="s">
        <v>8</v>
      </c>
      <c r="C13" s="3"/>
      <c r="D13" s="3"/>
      <c r="E13" s="3"/>
      <c r="F13" s="3"/>
    </row>
    <row r="14" spans="1:8" x14ac:dyDescent="0.25">
      <c r="A14" s="3">
        <v>10</v>
      </c>
      <c r="B14" s="3" t="s">
        <v>9</v>
      </c>
      <c r="C14" s="3"/>
      <c r="D14" s="3"/>
      <c r="E14" s="3"/>
      <c r="F14" s="3"/>
      <c r="H14">
        <v>1769</v>
      </c>
    </row>
    <row r="15" spans="1:8" x14ac:dyDescent="0.25">
      <c r="A15" s="3">
        <v>11</v>
      </c>
      <c r="B15" s="3" t="s">
        <v>10</v>
      </c>
      <c r="C15" s="3"/>
      <c r="D15" s="3"/>
      <c r="E15" s="3"/>
      <c r="F15" s="3"/>
      <c r="H15">
        <v>3193</v>
      </c>
    </row>
    <row r="16" spans="1:8" x14ac:dyDescent="0.25">
      <c r="A16" s="3">
        <v>12</v>
      </c>
      <c r="B16" s="3" t="s">
        <v>11</v>
      </c>
      <c r="C16" s="3"/>
      <c r="D16" s="3"/>
      <c r="E16" s="3"/>
      <c r="F16" s="3"/>
      <c r="H16">
        <f>H15-H14</f>
        <v>1424</v>
      </c>
    </row>
    <row r="17" spans="1:8" x14ac:dyDescent="0.25">
      <c r="A17" s="3">
        <v>13</v>
      </c>
      <c r="B17" s="3" t="s">
        <v>12</v>
      </c>
      <c r="C17" s="3"/>
      <c r="D17" s="3"/>
      <c r="E17" s="3"/>
      <c r="F17" s="3"/>
      <c r="H17">
        <f>H16/130</f>
        <v>10.953846153846154</v>
      </c>
    </row>
    <row r="18" spans="1:8" x14ac:dyDescent="0.25">
      <c r="A18" s="3">
        <v>14</v>
      </c>
      <c r="B18" s="3" t="s">
        <v>13</v>
      </c>
      <c r="C18" s="3"/>
      <c r="D18" s="3"/>
      <c r="E18" s="3"/>
      <c r="F18" s="3"/>
    </row>
    <row r="19" spans="1:8" x14ac:dyDescent="0.25">
      <c r="A19" s="3">
        <v>15</v>
      </c>
      <c r="B19" s="3" t="s">
        <v>14</v>
      </c>
      <c r="C19" s="3"/>
      <c r="D19" s="3"/>
      <c r="E19" s="3"/>
      <c r="F19" s="3"/>
    </row>
    <row r="20" spans="1:8" x14ac:dyDescent="0.25">
      <c r="A20" s="3">
        <v>16</v>
      </c>
      <c r="B20" s="3" t="s">
        <v>15</v>
      </c>
      <c r="C20" s="3"/>
      <c r="D20" s="3"/>
      <c r="E20" s="3"/>
      <c r="F20" s="3"/>
    </row>
    <row r="21" spans="1:8" x14ac:dyDescent="0.25">
      <c r="A21" s="3">
        <v>17</v>
      </c>
      <c r="B21" s="3" t="s">
        <v>16</v>
      </c>
      <c r="C21" s="3"/>
      <c r="D21" s="3"/>
      <c r="E21" s="3"/>
      <c r="F21" s="3"/>
      <c r="H21">
        <v>1861</v>
      </c>
    </row>
    <row r="22" spans="1:8" x14ac:dyDescent="0.25">
      <c r="A22" s="3">
        <v>18</v>
      </c>
      <c r="B22" s="3" t="s">
        <v>17</v>
      </c>
      <c r="C22" s="3"/>
      <c r="D22" s="3"/>
      <c r="E22" s="3"/>
      <c r="F22" s="3"/>
      <c r="H22">
        <v>3648</v>
      </c>
    </row>
    <row r="23" spans="1:8" x14ac:dyDescent="0.25">
      <c r="A23" s="3">
        <v>19</v>
      </c>
      <c r="B23" s="3" t="s">
        <v>18</v>
      </c>
      <c r="C23" s="3"/>
      <c r="D23" s="3"/>
      <c r="E23" s="3"/>
      <c r="F23" s="3"/>
      <c r="H23">
        <f>H22-H21</f>
        <v>1787</v>
      </c>
    </row>
    <row r="24" spans="1:8" x14ac:dyDescent="0.25">
      <c r="A24" s="3">
        <v>20</v>
      </c>
      <c r="B24" s="3" t="s">
        <v>19</v>
      </c>
      <c r="C24" s="3"/>
      <c r="D24" s="3"/>
      <c r="E24" s="3"/>
      <c r="F24" s="3"/>
      <c r="H24">
        <f>H23/130</f>
        <v>13.746153846153845</v>
      </c>
    </row>
    <row r="25" spans="1:8" x14ac:dyDescent="0.25">
      <c r="A25" s="3">
        <v>21</v>
      </c>
      <c r="B25" s="3" t="s">
        <v>20</v>
      </c>
      <c r="C25" s="3"/>
      <c r="D25" s="3"/>
      <c r="E25" s="3"/>
      <c r="F25" s="3"/>
    </row>
    <row r="26" spans="1:8" x14ac:dyDescent="0.25">
      <c r="A26" s="3">
        <v>22</v>
      </c>
      <c r="B26" s="3" t="s">
        <v>21</v>
      </c>
      <c r="C26" s="3"/>
      <c r="D26" s="3"/>
      <c r="E26" s="3"/>
      <c r="F26" s="3"/>
      <c r="H26">
        <v>1869</v>
      </c>
    </row>
    <row r="27" spans="1:8" x14ac:dyDescent="0.25">
      <c r="A27" s="3">
        <v>23</v>
      </c>
      <c r="B27" s="3" t="s">
        <v>22</v>
      </c>
      <c r="C27" s="3"/>
      <c r="D27" s="3"/>
      <c r="E27" s="3"/>
      <c r="F27" s="3"/>
      <c r="H27">
        <v>2705</v>
      </c>
    </row>
    <row r="28" spans="1:8" x14ac:dyDescent="0.25">
      <c r="A28" s="3">
        <v>24</v>
      </c>
      <c r="B28" s="3" t="s">
        <v>23</v>
      </c>
      <c r="C28" s="3"/>
      <c r="D28" s="3"/>
      <c r="E28" s="3"/>
      <c r="F28" s="3"/>
      <c r="H28">
        <f>H27-H26</f>
        <v>836</v>
      </c>
    </row>
    <row r="29" spans="1:8" x14ac:dyDescent="0.25">
      <c r="A29" s="3">
        <v>25</v>
      </c>
      <c r="B29" s="3" t="s">
        <v>24</v>
      </c>
      <c r="C29" s="3"/>
      <c r="D29" s="3"/>
      <c r="E29" s="3"/>
      <c r="F29" s="3"/>
      <c r="H29">
        <f>H28/130</f>
        <v>6.430769230769231</v>
      </c>
    </row>
    <row r="30" spans="1:8" x14ac:dyDescent="0.25">
      <c r="A30" s="3">
        <v>26</v>
      </c>
      <c r="B30" s="3" t="s">
        <v>25</v>
      </c>
      <c r="C30" s="3"/>
      <c r="D30" s="3"/>
      <c r="E30" s="3"/>
      <c r="F30" s="3"/>
    </row>
    <row r="31" spans="1:8" x14ac:dyDescent="0.25">
      <c r="A31" s="3">
        <v>27</v>
      </c>
      <c r="B31" s="3" t="s">
        <v>26</v>
      </c>
      <c r="C31" s="3"/>
      <c r="D31" s="3"/>
      <c r="E31" s="3"/>
      <c r="F31" s="3"/>
    </row>
    <row r="32" spans="1:8" x14ac:dyDescent="0.25">
      <c r="A32" s="3">
        <v>28</v>
      </c>
      <c r="B32" s="3" t="s">
        <v>27</v>
      </c>
      <c r="C32" s="3"/>
      <c r="D32" s="3"/>
      <c r="E32" s="3"/>
      <c r="F32" s="3"/>
    </row>
    <row r="33" spans="1:10" x14ac:dyDescent="0.25">
      <c r="A33" s="3">
        <v>29</v>
      </c>
      <c r="B33" s="3" t="s">
        <v>28</v>
      </c>
      <c r="C33" s="3"/>
      <c r="D33" s="3"/>
      <c r="E33" s="3"/>
      <c r="F33" s="3"/>
      <c r="H33">
        <v>390</v>
      </c>
      <c r="I33">
        <v>280</v>
      </c>
      <c r="J33">
        <f>H33-I33</f>
        <v>110</v>
      </c>
    </row>
    <row r="34" spans="1:10" x14ac:dyDescent="0.25">
      <c r="A34" s="3">
        <v>30</v>
      </c>
      <c r="B34" s="3" t="s">
        <v>29</v>
      </c>
      <c r="C34" s="3"/>
      <c r="D34" s="3"/>
      <c r="E34" s="3"/>
      <c r="F34" s="3"/>
      <c r="H34">
        <v>6</v>
      </c>
    </row>
    <row r="35" spans="1:10" x14ac:dyDescent="0.25">
      <c r="A35" s="3">
        <v>31</v>
      </c>
      <c r="B35" s="3" t="s">
        <v>30</v>
      </c>
      <c r="C35" s="3"/>
      <c r="D35" s="3"/>
      <c r="E35" s="3"/>
      <c r="F35" s="3"/>
      <c r="H35">
        <f>H33*H34</f>
        <v>2340</v>
      </c>
    </row>
    <row r="36" spans="1:10" x14ac:dyDescent="0.25">
      <c r="A36" s="3">
        <v>32</v>
      </c>
      <c r="B36" s="3" t="s">
        <v>31</v>
      </c>
      <c r="C36" s="3"/>
      <c r="D36" s="3"/>
      <c r="E36" s="3"/>
      <c r="F36" s="3"/>
    </row>
    <row r="37" spans="1:10" x14ac:dyDescent="0.25">
      <c r="A37" s="3">
        <v>33</v>
      </c>
      <c r="B37" s="3" t="s">
        <v>32</v>
      </c>
      <c r="C37" s="3"/>
      <c r="D37" s="3"/>
      <c r="E37" s="3"/>
      <c r="F37" s="3"/>
    </row>
    <row r="38" spans="1:10" x14ac:dyDescent="0.25">
      <c r="A38" s="3">
        <v>34</v>
      </c>
      <c r="B38" s="3" t="s">
        <v>33</v>
      </c>
      <c r="C38" s="3"/>
      <c r="D38" s="3"/>
      <c r="E38" s="3"/>
      <c r="F38" s="3"/>
    </row>
    <row r="39" spans="1:10" x14ac:dyDescent="0.25">
      <c r="A39" s="3">
        <v>35</v>
      </c>
      <c r="B39" s="3" t="s">
        <v>34</v>
      </c>
      <c r="C39" s="3"/>
      <c r="D39" s="3"/>
      <c r="E39" s="3"/>
      <c r="F39" s="3"/>
    </row>
    <row r="40" spans="1:10" x14ac:dyDescent="0.25">
      <c r="A40" s="3">
        <v>36</v>
      </c>
      <c r="B40" s="3" t="s">
        <v>35</v>
      </c>
      <c r="C40" s="3"/>
      <c r="D40" s="3"/>
      <c r="E40" s="3"/>
      <c r="F40" s="3"/>
    </row>
    <row r="41" spans="1:10" x14ac:dyDescent="0.25">
      <c r="A41" s="3">
        <v>37</v>
      </c>
      <c r="B41" s="3" t="s">
        <v>36</v>
      </c>
      <c r="C41" s="3"/>
      <c r="D41" s="3"/>
      <c r="E41" s="3"/>
      <c r="F41" s="3"/>
    </row>
    <row r="42" spans="1:10" x14ac:dyDescent="0.25">
      <c r="A42" s="3">
        <v>38</v>
      </c>
      <c r="B42" s="3" t="s">
        <v>37</v>
      </c>
      <c r="C42" s="3"/>
      <c r="D42" s="3"/>
      <c r="E42" s="3"/>
      <c r="F42" s="3"/>
    </row>
  </sheetData>
  <mergeCells count="1">
    <mergeCell ref="D3:E3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DeepL</dc:creator>
  <cp:lastModifiedBy>DeepL</cp:lastModifiedBy>
  <cp:lastPrinted>2023-10-18T04:17:48Z</cp:lastPrinted>
  <dcterms:created xsi:type="dcterms:W3CDTF">2023-10-18T04:10:23Z</dcterms:created>
  <dcterms:modified xsi:type="dcterms:W3CDTF">2023-11-01T06:44:46Z</dcterms:modified>
</cp:coreProperties>
</file>